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ebayes-my.sharepoint.com/personal/sue_suebayes_com/Documents/UserGroup/"/>
    </mc:Choice>
  </mc:AlternateContent>
  <xr:revisionPtr revIDLastSave="0" documentId="8_{3099D1CC-A97D-4408-9F24-C46B841B97B4}" xr6:coauthVersionLast="47" xr6:coauthVersionMax="47" xr10:uidLastSave="{00000000-0000-0000-0000-000000000000}"/>
  <bookViews>
    <workbookView xWindow="28680" yWindow="-120" windowWidth="29040" windowHeight="15720" xr2:uid="{8EA700F0-E35D-4791-8544-6B4320B32D6E}"/>
  </bookViews>
  <sheets>
    <sheet name="Sheet1" sheetId="1" r:id="rId1"/>
    <sheet name="Sheet2" sheetId="2" r:id="rId2"/>
    <sheet name="sueevent" sheetId="3" r:id="rId3"/>
  </sheets>
  <definedNames>
    <definedName name="ExternalData_1" localSheetId="2" hidden="1">sueevent!$A$1:$C$21</definedName>
    <definedName name="TOPN">_xlfn.LAMBDA(_xlpm.array,_xlpm.n,_xlfn.LET( _xlpm.topn,_xlfn.TAKE(_xlfn._xlws.SORT(_xlfn.CHOOSECOLS(_xlpm.array,1,3),2,-1),_xlpm.n), _xlpm.others,_xlfn.DROP(_xlfn._xlws.SORT(_xlfn.CHOOSECOLS(_xlpm.array,1,3),2,-1),_xlpm.n), _xlfn.VSTACK(_xlpm.topn,_xlfn.HSTACK("Others ",SUM(INDEX(_xlpm.others,,2)))) 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 a="1"/>
  <c r="I4" i="3" s="1"/>
  <c r="F4" i="3" a="1"/>
  <c r="F4" i="3" s="1"/>
  <c r="J4" i="1" a="1"/>
  <c r="J4" i="1" s="1"/>
  <c r="F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2EDFA9-8643-4D30-885C-80DD9BADE431}" keepAlive="1" name="sueevent" type="5" refreshedVersion="8" saveData="1">
    <dbPr connection="Provider=MSOLAP.8;Integrated Security=ClaimsToken;Persist Security Info=True;Initial Catalog=sobe_wowvirtualserver-03e57397-e0f9-49d1-8cc9-b5c64aa41591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COLUMNS(_x000d__x000a__x0009__x0009__x0009_'products'[Product Name],_x000d__x000a__x0009__x0009__x0009_&quot;SumUnits_Sold&quot;, CALCULATE(SUM('sales'[Units Sold])),_x000d__x000a__x0009__x0009__x0009_&quot;SumTotal&quot;, CALCULATE(SUM('sales'[Total]))_x000d__x000a__x0009__x0009_)_x000d__x000a__x000d__x000a__x0009_VAR __DS0BodyLimited = _x000d__x000a__x0009__x0009_TOPN(500000, __DS0Core, 'products'[Product Name], 1)_x000d__x000a__x000d__x000a_EVALUATE_x000d__x000a__x0009___DS0BodyLimited_x000d__x000a__x000d__x000a_ORDER BY_x000d__x000a__x0009_'products'[Product Name]" commandType="4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<sst xmlns="http://schemas.openxmlformats.org/spreadsheetml/2006/main" count="40" uniqueCount="33">
  <si>
    <t>ID</t>
  </si>
  <si>
    <t>Name</t>
  </si>
  <si>
    <t>bob</t>
  </si>
  <si>
    <t>henrik</t>
  </si>
  <si>
    <t>sue</t>
  </si>
  <si>
    <t>alan</t>
  </si>
  <si>
    <t>gavin</t>
  </si>
  <si>
    <t>Dynamic + Array</t>
  </si>
  <si>
    <t>sharon</t>
  </si>
  <si>
    <t>Baguette</t>
  </si>
  <si>
    <t>Beer</t>
  </si>
  <si>
    <t>Blueberry Muffin</t>
  </si>
  <si>
    <t>Caramel Shortbread</t>
  </si>
  <si>
    <t>Chocolate Chip Muffin</t>
  </si>
  <si>
    <t>Coffee</t>
  </si>
  <si>
    <t>Cornish Pasty</t>
  </si>
  <si>
    <t>Crisps</t>
  </si>
  <si>
    <t>Croissant</t>
  </si>
  <si>
    <t>Flapjack</t>
  </si>
  <si>
    <t>Hot Chocolate</t>
  </si>
  <si>
    <t>Jacket Potato</t>
  </si>
  <si>
    <t>Orange Juice</t>
  </si>
  <si>
    <t>Samosa</t>
  </si>
  <si>
    <t>Sandwich</t>
  </si>
  <si>
    <t>Sausage Roll</t>
  </si>
  <si>
    <t>Soup</t>
  </si>
  <si>
    <t>Tea</t>
  </si>
  <si>
    <t>Water</t>
  </si>
  <si>
    <t>Wine</t>
  </si>
  <si>
    <t>Product Name</t>
  </si>
  <si>
    <t>Units Sold</t>
  </si>
  <si>
    <t>Total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</si>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</sst>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2" borderId="0" xfId="0" applyFill="1"/>
    <xf numFmtId="0" fontId="2" fillId="3" borderId="1" xfId="0" applyFont="1" applyFill="1" applyBorder="1"/>
    <xf numFmtId="164" fontId="0" fillId="0" borderId="0" xfId="1" applyNumberFormat="1" applyFont="1"/>
    <xf numFmtId="0" fontId="0" fillId="0" borderId="0" xfId="0" quotePrefix="1" applyAlignment="1">
      <alignment wrapText="1"/>
    </xf>
    <xf numFmtId="0" fontId="2" fillId="5" borderId="1" xfId="0" applyFont="1" applyFill="1" applyBorder="1"/>
    <xf numFmtId="0" fontId="2" fillId="4" borderId="1" xfId="0" applyFont="1" applyFill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3">
    <dxf>
      <numFmt numFmtId="164" formatCode="_-* #,##0_-;\-* #,##0_-;_-* &quot;-&quot;??_-;_-@_-"/>
    </dxf>
    <dxf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FE80A1F-42DF-4337-A37C-67CA6D27D6A6}" autoFormatId="16" applyNumberFormats="0" applyBorderFormats="0" applyFontFormats="0" applyPatternFormats="0" applyAlignmentFormats="0" applyWidthHeightFormats="0">
  <queryTableRefresh nextId="4">
    <queryTableFields count="3">
      <queryTableField id="1" name="products[Product Name]" tableColumnId="1"/>
      <queryTableField id="2" name="[SumUnits_Sold]" tableColumnId="2"/>
      <queryTableField id="3" name="[SumTotal]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1C061-6B1A-42B7-A57E-EE91975B1C6A}" name="Table1" displayName="Table1" ref="C3:D10" totalsRowShown="0" headerRowDxfId="2">
  <autoFilter ref="C3:D10" xr:uid="{7EC1C061-6B1A-42B7-A57E-EE91975B1C6A}"/>
  <tableColumns count="2">
    <tableColumn id="1" xr3:uid="{7E7F8437-CFC5-44A2-92A5-4FD0646BE2E9}" name="ID"/>
    <tableColumn id="2" xr3:uid="{CD523F95-E399-4EBD-8355-DD2004073C07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F3396E-21F2-4572-A5D0-B82EE9E99411}" name="sueTable" displayName="sueTable" ref="A1:C21" tableType="queryTable" totalsRowShown="0">
  <autoFilter ref="A1:C21" xr:uid="{F0F3396E-21F2-4572-A5D0-B82EE9E99411}"/>
  <tableColumns count="3">
    <tableColumn id="1" xr3:uid="{0C10F46E-0852-40FE-BEFB-6A9DE6BA11CB}" uniqueName="1" name="Product Name" queryTableFieldId="1"/>
    <tableColumn id="2" xr3:uid="{FF0C3176-96DC-4953-8CEC-DC42E6E107C3}" uniqueName="2" name="Units Sold" queryTableFieldId="2" dataDxfId="1" dataCellStyle="Comma"/>
    <tableColumn id="3" xr3:uid="{C401B14B-1DF7-490E-81FE-9D0887056FC8}" uniqueName="3" name="Total" queryTableFieldId="3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8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9CEC71-2967-4C9F-9102-477CBDD4B8FC}">
  <we:reference id="wa200003696" version="1.2.0.0" store="en-US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4063-9E90-4D20-B1C2-DA3DA02E751A}">
  <dimension ref="C3:J10"/>
  <sheetViews>
    <sheetView tabSelected="1" zoomScale="220" zoomScaleNormal="220" workbookViewId="0">
      <selection activeCell="J5" sqref="J5"/>
    </sheetView>
  </sheetViews>
  <sheetFormatPr defaultRowHeight="18.75" x14ac:dyDescent="0.3"/>
  <sheetData>
    <row r="3" spans="3:10" x14ac:dyDescent="0.3">
      <c r="C3" s="1" t="s">
        <v>0</v>
      </c>
      <c r="D3" s="1" t="s">
        <v>1</v>
      </c>
    </row>
    <row r="4" spans="3:10" x14ac:dyDescent="0.3">
      <c r="C4">
        <v>1</v>
      </c>
      <c r="D4" t="s">
        <v>2</v>
      </c>
      <c r="F4">
        <f>COUNTA(Table1[Name])</f>
        <v>7</v>
      </c>
      <c r="J4" t="str" cm="1">
        <f t="array" ref="J4:J9">_xlfn.UNIQUE(Table1[Name])</f>
        <v>bob</v>
      </c>
    </row>
    <row r="5" spans="3:10" x14ac:dyDescent="0.3">
      <c r="C5">
        <v>2</v>
      </c>
      <c r="D5" t="s">
        <v>3</v>
      </c>
      <c r="J5" t="str">
        <v>henrik</v>
      </c>
    </row>
    <row r="6" spans="3:10" x14ac:dyDescent="0.3">
      <c r="C6">
        <v>3</v>
      </c>
      <c r="D6" t="s">
        <v>4</v>
      </c>
      <c r="H6" s="2" t="s">
        <v>6</v>
      </c>
      <c r="J6" t="str">
        <v>sue</v>
      </c>
    </row>
    <row r="7" spans="3:10" x14ac:dyDescent="0.3">
      <c r="C7">
        <v>4</v>
      </c>
      <c r="D7" t="s">
        <v>5</v>
      </c>
      <c r="J7" t="str">
        <v>alan</v>
      </c>
    </row>
    <row r="8" spans="3:10" x14ac:dyDescent="0.3">
      <c r="C8">
        <v>5</v>
      </c>
      <c r="D8" t="s">
        <v>6</v>
      </c>
      <c r="J8" t="str">
        <v>gavin</v>
      </c>
    </row>
    <row r="9" spans="3:10" x14ac:dyDescent="0.3">
      <c r="C9">
        <v>6</v>
      </c>
      <c r="D9" t="s">
        <v>2</v>
      </c>
      <c r="J9" t="str">
        <v>sharon</v>
      </c>
    </row>
    <row r="10" spans="3:10" x14ac:dyDescent="0.3">
      <c r="C10">
        <v>7</v>
      </c>
      <c r="D10" t="s">
        <v>8</v>
      </c>
      <c r="H10" t="s">
        <v>7</v>
      </c>
    </row>
  </sheetData>
  <dataValidations count="1">
    <dataValidation type="list" allowBlank="1" showInputMessage="1" showErrorMessage="1" sqref="H6" xr:uid="{C46FF50A-A0A7-44EC-9B03-4E1617386C59}">
      <formula1>$D$4:$D$10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1F8B-335D-4AF9-98D4-019D5E56F8E1}">
  <dimension ref="A1"/>
  <sheetViews>
    <sheetView zoomScale="235" zoomScaleNormal="235" workbookViewId="0">
      <selection activeCell="C3" sqref="C3"/>
    </sheetView>
  </sheetViews>
  <sheetFormatPr defaultRowHeight="18.7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200B-FFC3-40E2-8E03-2BD27B4708EB}">
  <dimension ref="A1:J120"/>
  <sheetViews>
    <sheetView zoomScale="175" zoomScaleNormal="175" workbookViewId="0">
      <selection activeCell="I12" sqref="I12"/>
    </sheetView>
  </sheetViews>
  <sheetFormatPr defaultRowHeight="18.75" x14ac:dyDescent="0.3"/>
  <cols>
    <col min="1" max="1" width="22.19921875" bestFit="1" customWidth="1"/>
    <col min="2" max="2" width="15.69921875" bestFit="1" customWidth="1"/>
    <col min="3" max="3" width="11.09765625" bestFit="1" customWidth="1"/>
    <col min="6" max="6" width="14.796875" customWidth="1"/>
    <col min="7" max="7" width="10.09765625" bestFit="1" customWidth="1"/>
    <col min="9" max="9" width="14.09765625" bestFit="1" customWidth="1"/>
  </cols>
  <sheetData>
    <row r="1" spans="1:10" x14ac:dyDescent="0.3">
      <c r="A1" t="s">
        <v>29</v>
      </c>
      <c r="B1" t="s">
        <v>30</v>
      </c>
      <c r="C1" t="s">
        <v>31</v>
      </c>
      <c r="F1" s="7" t="s">
        <v>32</v>
      </c>
      <c r="G1" s="8">
        <v>5</v>
      </c>
      <c r="I1" s="6" t="s">
        <v>32</v>
      </c>
      <c r="J1" s="8">
        <v>5</v>
      </c>
    </row>
    <row r="2" spans="1:10" x14ac:dyDescent="0.3">
      <c r="A2" t="s">
        <v>9</v>
      </c>
      <c r="B2" s="4">
        <v>9330</v>
      </c>
      <c r="C2" s="4">
        <v>26124</v>
      </c>
    </row>
    <row r="3" spans="1:10" x14ac:dyDescent="0.3">
      <c r="A3" t="s">
        <v>10</v>
      </c>
      <c r="B3" s="4">
        <v>1170</v>
      </c>
      <c r="C3" s="4">
        <v>4563</v>
      </c>
      <c r="F3" s="3" t="s">
        <v>29</v>
      </c>
      <c r="G3" s="3" t="s">
        <v>31</v>
      </c>
      <c r="I3" s="3" t="s">
        <v>29</v>
      </c>
      <c r="J3" s="3" t="s">
        <v>31</v>
      </c>
    </row>
    <row r="4" spans="1:10" x14ac:dyDescent="0.3">
      <c r="A4" t="s">
        <v>11</v>
      </c>
      <c r="B4" s="4">
        <v>4247</v>
      </c>
      <c r="C4" s="4">
        <v>5945.8</v>
      </c>
      <c r="F4" t="str" cm="1">
        <f t="array" ref="F4:G9">TOPN(sueTable[],G1)</f>
        <v>Jacket Potato</v>
      </c>
      <c r="G4" s="4">
        <v>29481.599999999999</v>
      </c>
      <c r="I4" t="str" cm="1">
        <f t="array" ref="I4:J9">_xlfn.LET(
_xlpm.topn,_xlfn.TAKE(_xlfn._xlws.SORT(_xlfn.CHOOSECOLS(sueTable[],MATCH(I3:J3,sueTable[#Headers],0)),2,-1),J1),
_xlpm.others,_xlfn.DROP(_xlfn._xlws.SORT(_xlfn.CHOOSECOLS(sueTable[],MATCH(I3:J3,sueTable[#Headers],0)),2,-1),J1),
_xlfn.VSTACK(_xlpm.topn,_xlfn.HSTACK("Others ",SUM(INDEX(_xlpm.others,,2))))
)</f>
        <v>Jacket Potato</v>
      </c>
      <c r="J4" s="4">
        <v>29481.599999999999</v>
      </c>
    </row>
    <row r="5" spans="1:10" x14ac:dyDescent="0.3">
      <c r="A5" t="s">
        <v>12</v>
      </c>
      <c r="B5" s="4">
        <v>533</v>
      </c>
      <c r="C5" s="4">
        <v>1172.5999999999999</v>
      </c>
      <c r="F5" t="str">
        <v>Baguette</v>
      </c>
      <c r="G5" s="4">
        <v>26124</v>
      </c>
      <c r="I5" t="str">
        <v>Baguette</v>
      </c>
      <c r="J5" s="4">
        <v>26124</v>
      </c>
    </row>
    <row r="6" spans="1:10" x14ac:dyDescent="0.3">
      <c r="A6" t="s">
        <v>13</v>
      </c>
      <c r="B6" s="4">
        <v>2936</v>
      </c>
      <c r="C6" s="4">
        <v>4110.3999999999996</v>
      </c>
      <c r="F6" t="str">
        <v>Wine</v>
      </c>
      <c r="G6" s="4">
        <v>14751</v>
      </c>
      <c r="I6" t="str">
        <v>Wine</v>
      </c>
      <c r="J6" s="4">
        <v>14751</v>
      </c>
    </row>
    <row r="7" spans="1:10" x14ac:dyDescent="0.3">
      <c r="A7" t="s">
        <v>14</v>
      </c>
      <c r="B7" s="4">
        <v>1025</v>
      </c>
      <c r="C7" s="4">
        <v>2460</v>
      </c>
      <c r="F7" t="str">
        <v>Soup</v>
      </c>
      <c r="G7" s="4">
        <v>10334</v>
      </c>
      <c r="I7" t="str">
        <v>Soup</v>
      </c>
      <c r="J7" s="4">
        <v>10334</v>
      </c>
    </row>
    <row r="8" spans="1:10" x14ac:dyDescent="0.3">
      <c r="A8" t="s">
        <v>15</v>
      </c>
      <c r="B8" s="4">
        <v>161</v>
      </c>
      <c r="C8" s="4">
        <v>547.4</v>
      </c>
      <c r="F8" t="str">
        <v>Blueberry Muffin</v>
      </c>
      <c r="G8" s="4">
        <v>5945.8</v>
      </c>
      <c r="I8" t="str">
        <v>Blueberry Muffin</v>
      </c>
      <c r="J8" s="4">
        <v>5945.8</v>
      </c>
    </row>
    <row r="9" spans="1:10" x14ac:dyDescent="0.3">
      <c r="A9" t="s">
        <v>16</v>
      </c>
      <c r="B9" s="4">
        <v>822</v>
      </c>
      <c r="C9" s="4">
        <v>739.8</v>
      </c>
      <c r="F9" t="str">
        <v xml:space="preserve">Others </v>
      </c>
      <c r="G9" s="4">
        <v>34569.799999999996</v>
      </c>
      <c r="I9" t="str">
        <v xml:space="preserve">Others </v>
      </c>
      <c r="J9" s="4">
        <v>34569.799999999996</v>
      </c>
    </row>
    <row r="10" spans="1:10" x14ac:dyDescent="0.3">
      <c r="A10" t="s">
        <v>17</v>
      </c>
      <c r="B10" s="4">
        <v>1984</v>
      </c>
      <c r="C10" s="4">
        <v>3372.8</v>
      </c>
      <c r="G10" s="4"/>
    </row>
    <row r="11" spans="1:10" x14ac:dyDescent="0.3">
      <c r="A11" t="s">
        <v>18</v>
      </c>
      <c r="B11" s="4">
        <v>718</v>
      </c>
      <c r="C11" s="4">
        <v>1077</v>
      </c>
      <c r="G11" s="4"/>
    </row>
    <row r="12" spans="1:10" x14ac:dyDescent="0.3">
      <c r="A12" t="s">
        <v>19</v>
      </c>
      <c r="B12" s="4">
        <v>339</v>
      </c>
      <c r="C12" s="4">
        <v>610.20000000000005</v>
      </c>
      <c r="G12" s="4"/>
    </row>
    <row r="13" spans="1:10" x14ac:dyDescent="0.3">
      <c r="A13" t="s">
        <v>20</v>
      </c>
      <c r="B13" s="4">
        <v>9213</v>
      </c>
      <c r="C13" s="4">
        <v>29481.599999999999</v>
      </c>
      <c r="G13" s="4"/>
    </row>
    <row r="14" spans="1:10" x14ac:dyDescent="0.3">
      <c r="A14" t="s">
        <v>21</v>
      </c>
      <c r="B14" s="4">
        <v>205</v>
      </c>
      <c r="C14" s="4">
        <v>246</v>
      </c>
      <c r="G14" s="4"/>
    </row>
    <row r="15" spans="1:10" ht="20.25" customHeight="1" x14ac:dyDescent="0.3">
      <c r="A15" t="s">
        <v>22</v>
      </c>
      <c r="B15" s="4">
        <v>1684</v>
      </c>
      <c r="C15" s="4">
        <v>4210</v>
      </c>
      <c r="G15" s="4"/>
    </row>
    <row r="16" spans="1:10" x14ac:dyDescent="0.3">
      <c r="A16" t="s">
        <v>23</v>
      </c>
      <c r="B16" s="4">
        <v>1392</v>
      </c>
      <c r="C16" s="4">
        <v>4593.6000000000004</v>
      </c>
      <c r="G16" s="4"/>
    </row>
    <row r="17" spans="1:7" x14ac:dyDescent="0.3">
      <c r="A17" t="s">
        <v>24</v>
      </c>
      <c r="B17" s="4">
        <v>885</v>
      </c>
      <c r="C17" s="4">
        <v>2212.5</v>
      </c>
      <c r="G17" s="4"/>
    </row>
    <row r="18" spans="1:7" x14ac:dyDescent="0.3">
      <c r="A18" t="s">
        <v>25</v>
      </c>
      <c r="B18" s="4">
        <v>5167</v>
      </c>
      <c r="C18" s="4">
        <v>10334</v>
      </c>
      <c r="G18" s="4"/>
    </row>
    <row r="19" spans="1:7" x14ac:dyDescent="0.3">
      <c r="A19" t="s">
        <v>26</v>
      </c>
      <c r="B19" s="4">
        <v>1275</v>
      </c>
      <c r="C19" s="4">
        <v>1912.5</v>
      </c>
    </row>
    <row r="20" spans="1:7" x14ac:dyDescent="0.3">
      <c r="A20" t="s">
        <v>27</v>
      </c>
      <c r="B20" s="4">
        <v>2742</v>
      </c>
      <c r="C20" s="4">
        <v>2742</v>
      </c>
    </row>
    <row r="21" spans="1:7" x14ac:dyDescent="0.3">
      <c r="A21" t="s">
        <v>28</v>
      </c>
      <c r="B21" s="4">
        <v>2235</v>
      </c>
      <c r="C21" s="4">
        <v>14751</v>
      </c>
      <c r="G21" s="4"/>
    </row>
    <row r="22" spans="1:7" x14ac:dyDescent="0.3">
      <c r="G22" s="4"/>
    </row>
    <row r="23" spans="1:7" x14ac:dyDescent="0.3">
      <c r="G23" s="4"/>
    </row>
    <row r="24" spans="1:7" x14ac:dyDescent="0.3">
      <c r="G24" s="4"/>
    </row>
    <row r="25" spans="1:7" x14ac:dyDescent="0.3">
      <c r="G25" s="4"/>
    </row>
    <row r="26" spans="1:7" x14ac:dyDescent="0.3">
      <c r="G26" s="4"/>
    </row>
    <row r="27" spans="1:7" x14ac:dyDescent="0.3">
      <c r="G27" s="4"/>
    </row>
    <row r="118" spans="6:7" x14ac:dyDescent="0.3">
      <c r="G118" s="4"/>
    </row>
    <row r="119" spans="6:7" x14ac:dyDescent="0.3">
      <c r="G119" s="4"/>
    </row>
    <row r="120" spans="6:7" x14ac:dyDescent="0.3">
      <c r="F120" s="5"/>
      <c r="G120" s="4"/>
    </row>
  </sheetData>
  <dataValidations count="1">
    <dataValidation type="list" allowBlank="1" showInputMessage="1" showErrorMessage="1" sqref="J3" xr:uid="{7F8AFF1C-47C5-4764-B630-5B111FC9989E}">
      <formula1>"Units Sold,Total"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sueevent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Sue Bayes</cp:lastModifiedBy>
  <dcterms:created xsi:type="dcterms:W3CDTF">2023-11-21T18:01:02Z</dcterms:created>
  <dcterms:modified xsi:type="dcterms:W3CDTF">2023-11-21T21:08:55Z</dcterms:modified>
</cp:coreProperties>
</file>